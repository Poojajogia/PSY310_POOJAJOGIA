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Delay_discounting_experiment/data/"/>
    </mc:Choice>
  </mc:AlternateContent>
  <xr:revisionPtr revIDLastSave="67" documentId="8_{76B11030-098D-4FC6-9276-AA181A51F0F6}" xr6:coauthVersionLast="47" xr6:coauthVersionMax="47" xr10:uidLastSave="{3E25EF80-7539-436B-BFC1-11B131A992CE}"/>
  <bookViews>
    <workbookView xWindow="-108" yWindow="-108" windowWidth="23256" windowHeight="12456" xr2:uid="{923E1DD7-A742-44D6-A11C-3A6B056BA849}"/>
  </bookViews>
  <sheets>
    <sheet name="001_delay_discounting_exp_2025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F5" i="1" s="1"/>
  <c r="I8" i="1" s="1"/>
  <c r="E6" i="1"/>
  <c r="E7" i="1"/>
  <c r="E8" i="1"/>
  <c r="E9" i="1"/>
  <c r="F9" i="1" s="1"/>
  <c r="E10" i="1"/>
  <c r="E11" i="1"/>
  <c r="E12" i="1"/>
  <c r="E13" i="1"/>
  <c r="F13" i="1" s="1"/>
  <c r="E14" i="1"/>
  <c r="E15" i="1"/>
  <c r="E16" i="1"/>
  <c r="E17" i="1"/>
  <c r="F17" i="1" s="1"/>
  <c r="E18" i="1"/>
  <c r="E19" i="1"/>
  <c r="E20" i="1"/>
  <c r="F20" i="1" s="1"/>
  <c r="E21" i="1"/>
  <c r="E22" i="1"/>
  <c r="E23" i="1"/>
  <c r="F23" i="1" s="1"/>
  <c r="E24" i="1"/>
  <c r="E25" i="1"/>
  <c r="E26" i="1"/>
  <c r="F26" i="1" s="1"/>
  <c r="E27" i="1"/>
  <c r="E28" i="1"/>
  <c r="E29" i="1"/>
  <c r="F29" i="1" s="1"/>
  <c r="E30" i="1"/>
  <c r="E31" i="1"/>
  <c r="E32" i="1"/>
  <c r="E33" i="1"/>
  <c r="F33" i="1" s="1"/>
  <c r="E34" i="1"/>
  <c r="E35" i="1"/>
  <c r="E36" i="1"/>
  <c r="E37" i="1"/>
  <c r="E38" i="1"/>
  <c r="E39" i="1"/>
  <c r="F39" i="1" s="1"/>
  <c r="E40" i="1"/>
  <c r="E41" i="1"/>
  <c r="E42" i="1"/>
  <c r="F42" i="1" s="1"/>
  <c r="E43" i="1"/>
  <c r="E44" i="1"/>
  <c r="F44" i="1" s="1"/>
  <c r="E45" i="1"/>
  <c r="E46" i="1"/>
  <c r="F46" i="1" s="1"/>
  <c r="E47" i="1"/>
  <c r="E48" i="1"/>
  <c r="E49" i="1"/>
  <c r="E50" i="1"/>
  <c r="F50" i="1" s="1"/>
  <c r="E51" i="1"/>
  <c r="E52" i="1"/>
  <c r="E53" i="1"/>
  <c r="F53" i="1" s="1"/>
  <c r="E54" i="1"/>
  <c r="E55" i="1"/>
  <c r="E56" i="1"/>
  <c r="E57" i="1"/>
  <c r="F57" i="1" s="1"/>
  <c r="E58" i="1"/>
  <c r="E59" i="1"/>
  <c r="E60" i="1"/>
  <c r="E61" i="1"/>
  <c r="E62" i="1"/>
  <c r="E63" i="1"/>
  <c r="F63" i="1" s="1"/>
  <c r="E64" i="1"/>
  <c r="E65" i="1"/>
  <c r="E66" i="1"/>
  <c r="E67" i="1"/>
  <c r="F67" i="1" s="1"/>
  <c r="E68" i="1"/>
  <c r="E69" i="1"/>
  <c r="E70" i="1"/>
  <c r="E71" i="1"/>
  <c r="E72" i="1"/>
  <c r="E73" i="1"/>
  <c r="E74" i="1"/>
  <c r="E75" i="1"/>
  <c r="E76" i="1"/>
  <c r="F76" i="1" s="1"/>
  <c r="E77" i="1"/>
  <c r="E78" i="1"/>
  <c r="E79" i="1"/>
  <c r="F79" i="1" s="1"/>
  <c r="E80" i="1"/>
  <c r="E81" i="1"/>
  <c r="E82" i="1"/>
  <c r="E83" i="1"/>
  <c r="E84" i="1"/>
  <c r="E85" i="1"/>
  <c r="E86" i="1"/>
  <c r="F86" i="1" s="1"/>
  <c r="E87" i="1"/>
  <c r="E88" i="1"/>
  <c r="E89" i="1"/>
  <c r="E90" i="1"/>
  <c r="E91" i="1"/>
  <c r="F91" i="1" s="1"/>
  <c r="E92" i="1"/>
  <c r="E93" i="1"/>
  <c r="F93" i="1" s="1"/>
  <c r="E94" i="1"/>
  <c r="E95" i="1"/>
  <c r="E96" i="1"/>
  <c r="F96" i="1" s="1"/>
  <c r="E97" i="1"/>
  <c r="E98" i="1"/>
  <c r="F98" i="1" s="1"/>
  <c r="E99" i="1"/>
  <c r="E100" i="1"/>
  <c r="E101" i="1"/>
  <c r="E2" i="1"/>
</calcChain>
</file>

<file path=xl/sharedStrings.xml><?xml version="1.0" encoding="utf-8"?>
<sst xmlns="http://schemas.openxmlformats.org/spreadsheetml/2006/main" count="107" uniqueCount="9">
  <si>
    <t>reward_today</t>
  </si>
  <si>
    <t>future_reward</t>
  </si>
  <si>
    <t>delay</t>
  </si>
  <si>
    <t>key_resp.keys</t>
  </si>
  <si>
    <t>t</t>
  </si>
  <si>
    <t>l</t>
  </si>
  <si>
    <t>k-values</t>
  </si>
  <si>
    <t>geomean</t>
  </si>
  <si>
    <t>k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</si>
</sst>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8B94-3EA2-4059-8343-A817BD4F9E62}">
  <dimension ref="A1:I101"/>
  <sheetViews>
    <sheetView tabSelected="1" workbookViewId="0">
      <selection activeCell="J9" sqref="J9"/>
    </sheetView>
  </sheetViews>
  <sheetFormatPr defaultRowHeight="14.4" x14ac:dyDescent="0.3"/>
  <cols>
    <col min="1" max="1" width="13.33203125" customWidth="1"/>
    <col min="2" max="2" width="15.5546875" customWidth="1"/>
    <col min="4" max="4" width="13.6640625" customWidth="1"/>
    <col min="5" max="5" width="12.33203125" customWidth="1"/>
    <col min="6" max="6" width="13" customWidth="1"/>
    <col min="9" max="9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9" x14ac:dyDescent="0.3">
      <c r="A2">
        <v>115</v>
      </c>
      <c r="B2">
        <v>165</v>
      </c>
      <c r="C2">
        <v>203</v>
      </c>
      <c r="D2" t="s">
        <v>4</v>
      </c>
      <c r="E2">
        <f>((B2/A2)-1)/C2</f>
        <v>2.1417862497322762E-3</v>
      </c>
    </row>
    <row r="3" spans="1:9" x14ac:dyDescent="0.3">
      <c r="A3">
        <v>99</v>
      </c>
      <c r="B3">
        <v>111</v>
      </c>
      <c r="C3">
        <v>88</v>
      </c>
      <c r="D3" t="s">
        <v>4</v>
      </c>
      <c r="E3">
        <f t="shared" ref="E3:E66" si="0">((B3/A3)-1)/C3</f>
        <v>1.377410468319558E-3</v>
      </c>
    </row>
    <row r="4" spans="1:9" x14ac:dyDescent="0.3">
      <c r="A4">
        <v>44</v>
      </c>
      <c r="B4">
        <v>55</v>
      </c>
      <c r="C4">
        <v>39</v>
      </c>
      <c r="D4" t="s">
        <v>4</v>
      </c>
      <c r="E4">
        <f t="shared" si="0"/>
        <v>6.41025641025641E-3</v>
      </c>
    </row>
    <row r="5" spans="1:9" x14ac:dyDescent="0.3">
      <c r="A5">
        <v>103</v>
      </c>
      <c r="B5">
        <v>144</v>
      </c>
      <c r="C5">
        <v>73</v>
      </c>
      <c r="D5" s="2" t="s">
        <v>4</v>
      </c>
      <c r="E5">
        <f t="shared" si="0"/>
        <v>5.4528527729751303E-3</v>
      </c>
      <c r="F5">
        <f>GEOMEAN(E5,E6)</f>
        <v>3.668118217559322E-2</v>
      </c>
    </row>
    <row r="6" spans="1:9" x14ac:dyDescent="0.3">
      <c r="A6">
        <v>11</v>
      </c>
      <c r="B6">
        <v>30</v>
      </c>
      <c r="C6">
        <v>7</v>
      </c>
      <c r="D6" s="2" t="s">
        <v>5</v>
      </c>
      <c r="E6">
        <f t="shared" si="0"/>
        <v>0.24675324675324672</v>
      </c>
    </row>
    <row r="7" spans="1:9" x14ac:dyDescent="0.3">
      <c r="A7">
        <v>111</v>
      </c>
      <c r="B7">
        <v>150</v>
      </c>
      <c r="C7">
        <v>187</v>
      </c>
      <c r="D7" t="s">
        <v>5</v>
      </c>
      <c r="E7">
        <f t="shared" si="0"/>
        <v>1.8788842318254082E-3</v>
      </c>
    </row>
    <row r="8" spans="1:9" x14ac:dyDescent="0.3">
      <c r="A8">
        <v>6</v>
      </c>
      <c r="B8">
        <v>51</v>
      </c>
      <c r="C8">
        <v>73</v>
      </c>
      <c r="D8" t="s">
        <v>5</v>
      </c>
      <c r="E8">
        <f t="shared" si="0"/>
        <v>0.10273972602739725</v>
      </c>
      <c r="H8" t="s">
        <v>8</v>
      </c>
      <c r="I8" s="1">
        <f>AVERAGE(F5,F9,F13,F17,F20,F23,F26,F29,F33,F39,F42,F44,F46,F50,F53,F57,F63,F67,F76,F79,F86,F91,F93,F96,F98)</f>
        <v>1.0893574089015631E-2</v>
      </c>
    </row>
    <row r="9" spans="1:9" x14ac:dyDescent="0.3">
      <c r="A9">
        <v>73</v>
      </c>
      <c r="B9">
        <v>84</v>
      </c>
      <c r="C9">
        <v>42</v>
      </c>
      <c r="D9" s="2" t="s">
        <v>4</v>
      </c>
      <c r="E9">
        <f t="shared" si="0"/>
        <v>3.5877364644487917E-3</v>
      </c>
      <c r="F9">
        <f>GEOMEAN(E9,E10)</f>
        <v>1.5465523947259363E-2</v>
      </c>
    </row>
    <row r="10" spans="1:9" x14ac:dyDescent="0.3">
      <c r="A10">
        <v>66</v>
      </c>
      <c r="B10">
        <v>110</v>
      </c>
      <c r="C10">
        <v>10</v>
      </c>
      <c r="D10" s="2" t="s">
        <v>5</v>
      </c>
      <c r="E10">
        <f t="shared" si="0"/>
        <v>6.666666666666668E-2</v>
      </c>
    </row>
    <row r="11" spans="1:9" x14ac:dyDescent="0.3">
      <c r="A11">
        <v>21</v>
      </c>
      <c r="B11">
        <v>31</v>
      </c>
      <c r="C11">
        <v>35</v>
      </c>
      <c r="D11" t="s">
        <v>4</v>
      </c>
      <c r="E11">
        <f t="shared" si="0"/>
        <v>1.3605442176870751E-2</v>
      </c>
    </row>
    <row r="12" spans="1:9" x14ac:dyDescent="0.3">
      <c r="A12">
        <v>104</v>
      </c>
      <c r="B12">
        <v>110</v>
      </c>
      <c r="C12">
        <v>48</v>
      </c>
      <c r="D12" t="s">
        <v>4</v>
      </c>
      <c r="E12">
        <f t="shared" si="0"/>
        <v>1.2019230769230772E-3</v>
      </c>
    </row>
    <row r="13" spans="1:9" x14ac:dyDescent="0.3">
      <c r="A13">
        <v>20</v>
      </c>
      <c r="B13">
        <v>25</v>
      </c>
      <c r="C13">
        <v>137</v>
      </c>
      <c r="D13" s="2" t="s">
        <v>4</v>
      </c>
      <c r="E13">
        <f t="shared" si="0"/>
        <v>1.8248175182481751E-3</v>
      </c>
      <c r="F13">
        <f>GEOMEAN(E13,E14)</f>
        <v>9.1425240351785033E-3</v>
      </c>
    </row>
    <row r="14" spans="1:9" x14ac:dyDescent="0.3">
      <c r="A14">
        <v>98</v>
      </c>
      <c r="B14">
        <v>300</v>
      </c>
      <c r="C14">
        <v>45</v>
      </c>
      <c r="D14" s="2" t="s">
        <v>5</v>
      </c>
      <c r="E14">
        <f t="shared" si="0"/>
        <v>4.5804988662131514E-2</v>
      </c>
    </row>
    <row r="15" spans="1:9" x14ac:dyDescent="0.3">
      <c r="A15">
        <v>156</v>
      </c>
      <c r="B15">
        <v>210</v>
      </c>
      <c r="C15">
        <v>120</v>
      </c>
      <c r="D15" t="s">
        <v>5</v>
      </c>
      <c r="E15">
        <f t="shared" si="0"/>
        <v>2.8846153846153856E-3</v>
      </c>
    </row>
    <row r="16" spans="1:9" x14ac:dyDescent="0.3">
      <c r="A16">
        <v>76</v>
      </c>
      <c r="B16">
        <v>100</v>
      </c>
      <c r="C16">
        <v>205</v>
      </c>
      <c r="D16" t="s">
        <v>4</v>
      </c>
      <c r="E16">
        <f t="shared" si="0"/>
        <v>1.5404364569961493E-3</v>
      </c>
    </row>
    <row r="17" spans="1:6" x14ac:dyDescent="0.3">
      <c r="A17">
        <v>81</v>
      </c>
      <c r="B17">
        <v>90</v>
      </c>
      <c r="C17">
        <v>12</v>
      </c>
      <c r="D17" s="2" t="s">
        <v>4</v>
      </c>
      <c r="E17">
        <f t="shared" si="0"/>
        <v>9.2592592592592639E-3</v>
      </c>
      <c r="F17">
        <f>GEOMEAN(E17,E18)</f>
        <v>1.2729376930432893E-2</v>
      </c>
    </row>
    <row r="18" spans="1:6" x14ac:dyDescent="0.3">
      <c r="A18">
        <v>25</v>
      </c>
      <c r="B18">
        <v>32</v>
      </c>
      <c r="C18">
        <v>16</v>
      </c>
      <c r="D18" s="2" t="s">
        <v>5</v>
      </c>
      <c r="E18">
        <f t="shared" si="0"/>
        <v>1.7500000000000002E-2</v>
      </c>
    </row>
    <row r="19" spans="1:6" x14ac:dyDescent="0.3">
      <c r="A19">
        <v>68</v>
      </c>
      <c r="B19">
        <v>94</v>
      </c>
      <c r="C19">
        <v>15</v>
      </c>
      <c r="D19" t="s">
        <v>5</v>
      </c>
      <c r="E19">
        <f t="shared" si="0"/>
        <v>2.5490196078431372E-2</v>
      </c>
    </row>
    <row r="20" spans="1:6" x14ac:dyDescent="0.3">
      <c r="A20">
        <v>76</v>
      </c>
      <c r="B20">
        <v>99</v>
      </c>
      <c r="C20">
        <v>195</v>
      </c>
      <c r="D20" s="2" t="s">
        <v>4</v>
      </c>
      <c r="E20">
        <f t="shared" si="0"/>
        <v>1.5519568151147096E-3</v>
      </c>
      <c r="F20">
        <f>GEOMEAN(E20,E21)</f>
        <v>4.0580106798746825E-3</v>
      </c>
    </row>
    <row r="21" spans="1:6" x14ac:dyDescent="0.3">
      <c r="A21">
        <v>161</v>
      </c>
      <c r="B21">
        <v>202</v>
      </c>
      <c r="C21">
        <v>24</v>
      </c>
      <c r="D21" s="2" t="s">
        <v>5</v>
      </c>
      <c r="E21">
        <f t="shared" si="0"/>
        <v>1.0610766045548651E-2</v>
      </c>
    </row>
    <row r="22" spans="1:6" x14ac:dyDescent="0.3">
      <c r="A22">
        <v>85</v>
      </c>
      <c r="B22">
        <v>105</v>
      </c>
      <c r="C22">
        <v>13</v>
      </c>
      <c r="D22" t="s">
        <v>5</v>
      </c>
      <c r="E22">
        <f t="shared" si="0"/>
        <v>1.8099547511312222E-2</v>
      </c>
    </row>
    <row r="23" spans="1:6" x14ac:dyDescent="0.3">
      <c r="A23">
        <v>52</v>
      </c>
      <c r="B23">
        <v>96</v>
      </c>
      <c r="C23">
        <v>8</v>
      </c>
      <c r="D23" s="2" t="s">
        <v>4</v>
      </c>
      <c r="E23">
        <f t="shared" si="0"/>
        <v>0.10576923076923078</v>
      </c>
      <c r="F23">
        <f>GEOMEAN(E23,E24)</f>
        <v>3.2770446312010433E-2</v>
      </c>
    </row>
    <row r="24" spans="1:6" x14ac:dyDescent="0.3">
      <c r="A24">
        <v>90</v>
      </c>
      <c r="B24">
        <v>143</v>
      </c>
      <c r="C24">
        <v>58</v>
      </c>
      <c r="D24" s="2" t="s">
        <v>5</v>
      </c>
      <c r="E24">
        <f t="shared" si="0"/>
        <v>1.015325670498084E-2</v>
      </c>
    </row>
    <row r="25" spans="1:6" x14ac:dyDescent="0.3">
      <c r="A25">
        <v>123</v>
      </c>
      <c r="B25">
        <v>142</v>
      </c>
      <c r="C25">
        <v>61</v>
      </c>
      <c r="D25" t="s">
        <v>4</v>
      </c>
      <c r="E25">
        <f t="shared" si="0"/>
        <v>2.5323204051712657E-3</v>
      </c>
    </row>
    <row r="26" spans="1:6" x14ac:dyDescent="0.3">
      <c r="A26">
        <v>158</v>
      </c>
      <c r="B26">
        <v>188</v>
      </c>
      <c r="C26">
        <v>151</v>
      </c>
      <c r="D26" s="2" t="s">
        <v>4</v>
      </c>
      <c r="E26">
        <f t="shared" si="0"/>
        <v>1.25743985246039E-3</v>
      </c>
      <c r="F26">
        <f>GEOMEAN(E26,E27)</f>
        <v>1.006448040847825E-2</v>
      </c>
    </row>
    <row r="27" spans="1:6" x14ac:dyDescent="0.3">
      <c r="A27">
        <v>12</v>
      </c>
      <c r="B27">
        <v>99</v>
      </c>
      <c r="C27">
        <v>90</v>
      </c>
      <c r="D27" s="2" t="s">
        <v>5</v>
      </c>
      <c r="E27">
        <f t="shared" si="0"/>
        <v>8.0555555555555561E-2</v>
      </c>
    </row>
    <row r="28" spans="1:6" x14ac:dyDescent="0.3">
      <c r="A28">
        <v>99</v>
      </c>
      <c r="B28">
        <v>130</v>
      </c>
      <c r="C28">
        <v>36</v>
      </c>
      <c r="D28" t="s">
        <v>5</v>
      </c>
      <c r="E28">
        <f t="shared" si="0"/>
        <v>8.6980920314253651E-3</v>
      </c>
    </row>
    <row r="29" spans="1:6" x14ac:dyDescent="0.3">
      <c r="A29">
        <v>54</v>
      </c>
      <c r="B29">
        <v>69</v>
      </c>
      <c r="C29">
        <v>52</v>
      </c>
      <c r="D29" s="2" t="s">
        <v>4</v>
      </c>
      <c r="E29">
        <f t="shared" si="0"/>
        <v>5.3418803418803402E-3</v>
      </c>
      <c r="F29">
        <f>GEOMEAN(E29,E30)</f>
        <v>6.2152473798664171E-3</v>
      </c>
    </row>
    <row r="30" spans="1:6" x14ac:dyDescent="0.3">
      <c r="A30">
        <v>88</v>
      </c>
      <c r="B30">
        <v>95</v>
      </c>
      <c r="C30">
        <v>11</v>
      </c>
      <c r="D30" s="2" t="s">
        <v>5</v>
      </c>
      <c r="E30">
        <f t="shared" si="0"/>
        <v>7.2314049586776896E-3</v>
      </c>
    </row>
    <row r="31" spans="1:6" x14ac:dyDescent="0.3">
      <c r="A31">
        <v>101</v>
      </c>
      <c r="B31">
        <v>119</v>
      </c>
      <c r="C31">
        <v>100</v>
      </c>
      <c r="D31" t="s">
        <v>5</v>
      </c>
      <c r="E31">
        <f t="shared" si="0"/>
        <v>1.7821782178217816E-3</v>
      </c>
    </row>
    <row r="32" spans="1:6" x14ac:dyDescent="0.3">
      <c r="A32">
        <v>7</v>
      </c>
      <c r="B32">
        <v>20</v>
      </c>
      <c r="C32">
        <v>230</v>
      </c>
      <c r="D32" t="s">
        <v>4</v>
      </c>
      <c r="E32">
        <f t="shared" si="0"/>
        <v>8.0745341614906832E-3</v>
      </c>
    </row>
    <row r="33" spans="1:6" x14ac:dyDescent="0.3">
      <c r="A33">
        <v>165</v>
      </c>
      <c r="B33">
        <v>199</v>
      </c>
      <c r="C33">
        <v>200</v>
      </c>
      <c r="D33" s="2" t="s">
        <v>4</v>
      </c>
      <c r="E33">
        <f t="shared" si="0"/>
        <v>1.0303030303030303E-3</v>
      </c>
      <c r="F33">
        <f>GEOMEAN(E33,E34)</f>
        <v>6.9731924326726122E-4</v>
      </c>
    </row>
    <row r="34" spans="1:6" x14ac:dyDescent="0.3">
      <c r="A34">
        <v>206</v>
      </c>
      <c r="B34">
        <v>213</v>
      </c>
      <c r="C34">
        <v>72</v>
      </c>
      <c r="D34" s="2" t="s">
        <v>5</v>
      </c>
      <c r="E34">
        <f t="shared" si="0"/>
        <v>4.7195253505933097E-4</v>
      </c>
    </row>
    <row r="35" spans="1:6" x14ac:dyDescent="0.3">
      <c r="A35">
        <v>155</v>
      </c>
      <c r="B35">
        <v>160</v>
      </c>
      <c r="C35">
        <v>27</v>
      </c>
      <c r="D35" t="s">
        <v>4</v>
      </c>
      <c r="E35">
        <f t="shared" si="0"/>
        <v>1.194743130227E-3</v>
      </c>
    </row>
    <row r="36" spans="1:6" x14ac:dyDescent="0.3">
      <c r="A36">
        <v>32</v>
      </c>
      <c r="B36">
        <v>48</v>
      </c>
      <c r="C36">
        <v>35</v>
      </c>
      <c r="D36" t="s">
        <v>4</v>
      </c>
      <c r="E36">
        <f t="shared" si="0"/>
        <v>1.4285714285714285E-2</v>
      </c>
    </row>
    <row r="37" spans="1:6" x14ac:dyDescent="0.3">
      <c r="A37">
        <v>61</v>
      </c>
      <c r="B37">
        <v>65</v>
      </c>
      <c r="C37">
        <v>178</v>
      </c>
      <c r="D37" t="s">
        <v>4</v>
      </c>
      <c r="E37">
        <f t="shared" si="0"/>
        <v>3.6839196905507498E-4</v>
      </c>
    </row>
    <row r="38" spans="1:6" x14ac:dyDescent="0.3">
      <c r="A38">
        <v>59</v>
      </c>
      <c r="B38">
        <v>100</v>
      </c>
      <c r="C38">
        <v>72</v>
      </c>
      <c r="D38" t="s">
        <v>4</v>
      </c>
      <c r="E38">
        <f t="shared" si="0"/>
        <v>9.6516007532956669E-3</v>
      </c>
    </row>
    <row r="39" spans="1:6" x14ac:dyDescent="0.3">
      <c r="A39">
        <v>166</v>
      </c>
      <c r="B39">
        <v>175</v>
      </c>
      <c r="C39">
        <v>140</v>
      </c>
      <c r="D39" s="2" t="s">
        <v>4</v>
      </c>
      <c r="E39">
        <f t="shared" si="0"/>
        <v>3.8726333907056806E-4</v>
      </c>
      <c r="F39">
        <f>GEOMEAN(E39,E40)</f>
        <v>8.2128723520184695E-3</v>
      </c>
    </row>
    <row r="40" spans="1:6" x14ac:dyDescent="0.3">
      <c r="A40">
        <v>37</v>
      </c>
      <c r="B40">
        <v>95</v>
      </c>
      <c r="C40">
        <v>9</v>
      </c>
      <c r="D40" s="2" t="s">
        <v>5</v>
      </c>
      <c r="E40">
        <f t="shared" si="0"/>
        <v>0.17417417417417416</v>
      </c>
    </row>
    <row r="41" spans="1:6" x14ac:dyDescent="0.3">
      <c r="A41">
        <v>215</v>
      </c>
      <c r="B41">
        <v>250</v>
      </c>
      <c r="C41">
        <v>82</v>
      </c>
      <c r="D41" t="s">
        <v>4</v>
      </c>
      <c r="E41">
        <f t="shared" si="0"/>
        <v>1.9852524106636423E-3</v>
      </c>
    </row>
    <row r="42" spans="1:6" x14ac:dyDescent="0.3">
      <c r="A42">
        <v>49</v>
      </c>
      <c r="B42">
        <v>60</v>
      </c>
      <c r="C42">
        <v>89</v>
      </c>
      <c r="D42" s="2" t="s">
        <v>4</v>
      </c>
      <c r="E42">
        <f t="shared" si="0"/>
        <v>2.522357257509746E-3</v>
      </c>
      <c r="F42">
        <f>GEOMEAN(E42,E43)</f>
        <v>1.4820290185296554E-3</v>
      </c>
    </row>
    <row r="43" spans="1:6" x14ac:dyDescent="0.3">
      <c r="A43">
        <v>87</v>
      </c>
      <c r="B43">
        <v>97</v>
      </c>
      <c r="C43">
        <v>132</v>
      </c>
      <c r="D43" s="2" t="s">
        <v>5</v>
      </c>
      <c r="E43">
        <f t="shared" si="0"/>
        <v>8.7077673284569903E-4</v>
      </c>
    </row>
    <row r="44" spans="1:6" x14ac:dyDescent="0.3">
      <c r="A44">
        <v>216</v>
      </c>
      <c r="B44">
        <v>248</v>
      </c>
      <c r="C44">
        <v>157</v>
      </c>
      <c r="D44" s="2" t="s">
        <v>4</v>
      </c>
      <c r="E44">
        <f t="shared" si="0"/>
        <v>9.4361877801368247E-4</v>
      </c>
      <c r="F44">
        <f>GEOMEAN(E44,E45)</f>
        <v>2.7915314016107827E-3</v>
      </c>
    </row>
    <row r="45" spans="1:6" x14ac:dyDescent="0.3">
      <c r="A45">
        <v>48</v>
      </c>
      <c r="B45">
        <v>92</v>
      </c>
      <c r="C45">
        <v>111</v>
      </c>
      <c r="D45" s="2" t="s">
        <v>5</v>
      </c>
      <c r="E45">
        <f t="shared" si="0"/>
        <v>8.2582582582582595E-3</v>
      </c>
    </row>
    <row r="46" spans="1:6" x14ac:dyDescent="0.3">
      <c r="A46">
        <v>82</v>
      </c>
      <c r="B46">
        <v>90</v>
      </c>
      <c r="C46">
        <v>71</v>
      </c>
      <c r="D46" s="2" t="s">
        <v>4</v>
      </c>
      <c r="E46">
        <f t="shared" si="0"/>
        <v>1.3740982480247349E-3</v>
      </c>
      <c r="F46">
        <f>GEOMEAN(E46,E47)</f>
        <v>1.3564514797858335E-2</v>
      </c>
    </row>
    <row r="47" spans="1:6" x14ac:dyDescent="0.3">
      <c r="A47">
        <v>13</v>
      </c>
      <c r="B47">
        <v>60</v>
      </c>
      <c r="C47">
        <v>27</v>
      </c>
      <c r="D47" s="2" t="s">
        <v>5</v>
      </c>
      <c r="E47">
        <f t="shared" si="0"/>
        <v>0.13390313390313388</v>
      </c>
    </row>
    <row r="48" spans="1:6" x14ac:dyDescent="0.3">
      <c r="A48">
        <v>144</v>
      </c>
      <c r="B48">
        <v>187</v>
      </c>
      <c r="C48">
        <v>33</v>
      </c>
      <c r="D48" t="s">
        <v>5</v>
      </c>
      <c r="E48">
        <f t="shared" si="0"/>
        <v>9.048821548821551E-3</v>
      </c>
    </row>
    <row r="49" spans="1:6" x14ac:dyDescent="0.3">
      <c r="A49">
        <v>67</v>
      </c>
      <c r="B49">
        <v>75</v>
      </c>
      <c r="C49">
        <v>119</v>
      </c>
      <c r="D49" t="s">
        <v>5</v>
      </c>
      <c r="E49">
        <f t="shared" si="0"/>
        <v>1.0033864291985443E-3</v>
      </c>
    </row>
    <row r="50" spans="1:6" x14ac:dyDescent="0.3">
      <c r="A50">
        <v>51</v>
      </c>
      <c r="B50">
        <v>85</v>
      </c>
      <c r="C50">
        <v>61</v>
      </c>
      <c r="D50" s="2" t="s">
        <v>4</v>
      </c>
      <c r="E50">
        <f t="shared" si="0"/>
        <v>1.0928961748633882E-2</v>
      </c>
      <c r="F50">
        <f>GEOMEAN(E50,E51)</f>
        <v>1.5638368577890114E-2</v>
      </c>
    </row>
    <row r="51" spans="1:6" x14ac:dyDescent="0.3">
      <c r="A51">
        <v>29</v>
      </c>
      <c r="B51">
        <v>90</v>
      </c>
      <c r="C51">
        <v>94</v>
      </c>
      <c r="D51" s="2" t="s">
        <v>5</v>
      </c>
      <c r="E51">
        <f t="shared" si="0"/>
        <v>2.2377109317681585E-2</v>
      </c>
    </row>
    <row r="52" spans="1:6" x14ac:dyDescent="0.3">
      <c r="A52">
        <v>38</v>
      </c>
      <c r="B52">
        <v>60</v>
      </c>
      <c r="C52">
        <v>4</v>
      </c>
      <c r="D52" t="s">
        <v>5</v>
      </c>
      <c r="E52">
        <f t="shared" si="0"/>
        <v>0.14473684210526316</v>
      </c>
    </row>
    <row r="53" spans="1:6" x14ac:dyDescent="0.3">
      <c r="A53">
        <v>50</v>
      </c>
      <c r="B53">
        <v>98</v>
      </c>
      <c r="C53">
        <v>182</v>
      </c>
      <c r="D53" s="2" t="s">
        <v>4</v>
      </c>
      <c r="E53">
        <f t="shared" si="0"/>
        <v>5.2747252747252747E-3</v>
      </c>
      <c r="F53">
        <f>GEOMEAN(E53,E54)</f>
        <v>7.5223138620332227E-3</v>
      </c>
    </row>
    <row r="54" spans="1:6" x14ac:dyDescent="0.3">
      <c r="A54">
        <v>67</v>
      </c>
      <c r="B54">
        <v>113</v>
      </c>
      <c r="C54">
        <v>64</v>
      </c>
      <c r="D54" s="2" t="s">
        <v>5</v>
      </c>
      <c r="E54">
        <f t="shared" si="0"/>
        <v>1.0727611940298507E-2</v>
      </c>
    </row>
    <row r="55" spans="1:6" x14ac:dyDescent="0.3">
      <c r="A55">
        <v>24</v>
      </c>
      <c r="B55">
        <v>50</v>
      </c>
      <c r="C55">
        <v>101</v>
      </c>
      <c r="D55" t="s">
        <v>5</v>
      </c>
      <c r="E55">
        <f t="shared" si="0"/>
        <v>1.0726072607260728E-2</v>
      </c>
    </row>
    <row r="56" spans="1:6" x14ac:dyDescent="0.3">
      <c r="A56">
        <v>63</v>
      </c>
      <c r="B56">
        <v>75</v>
      </c>
      <c r="C56">
        <v>19</v>
      </c>
      <c r="D56" t="s">
        <v>5</v>
      </c>
      <c r="E56">
        <f t="shared" si="0"/>
        <v>1.0025062656641603E-2</v>
      </c>
    </row>
    <row r="57" spans="1:6" x14ac:dyDescent="0.3">
      <c r="A57">
        <v>40</v>
      </c>
      <c r="B57">
        <v>55</v>
      </c>
      <c r="C57">
        <v>62</v>
      </c>
      <c r="D57" s="2" t="s">
        <v>4</v>
      </c>
      <c r="E57">
        <f t="shared" si="0"/>
        <v>6.0483870967741934E-3</v>
      </c>
      <c r="F57">
        <f>GEOMEAN(E57,E58)</f>
        <v>9.2378999245615531E-3</v>
      </c>
    </row>
    <row r="58" spans="1:6" x14ac:dyDescent="0.3">
      <c r="A58">
        <v>189</v>
      </c>
      <c r="B58">
        <v>213</v>
      </c>
      <c r="C58">
        <v>9</v>
      </c>
      <c r="D58" s="2" t="s">
        <v>5</v>
      </c>
      <c r="E58">
        <f t="shared" si="0"/>
        <v>1.4109347442680775E-2</v>
      </c>
    </row>
    <row r="59" spans="1:6" x14ac:dyDescent="0.3">
      <c r="A59">
        <v>27</v>
      </c>
      <c r="B59">
        <v>50</v>
      </c>
      <c r="C59">
        <v>21</v>
      </c>
      <c r="D59" t="s">
        <v>5</v>
      </c>
      <c r="E59">
        <f t="shared" si="0"/>
        <v>4.0564373897707229E-2</v>
      </c>
    </row>
    <row r="60" spans="1:6" x14ac:dyDescent="0.3">
      <c r="A60">
        <v>84</v>
      </c>
      <c r="B60">
        <v>109</v>
      </c>
      <c r="C60">
        <v>21</v>
      </c>
      <c r="D60" t="s">
        <v>4</v>
      </c>
      <c r="E60">
        <f t="shared" si="0"/>
        <v>1.4172335600907032E-2</v>
      </c>
    </row>
    <row r="61" spans="1:6" x14ac:dyDescent="0.3">
      <c r="A61">
        <v>39</v>
      </c>
      <c r="B61">
        <v>67</v>
      </c>
      <c r="C61">
        <v>93</v>
      </c>
      <c r="D61" t="s">
        <v>4</v>
      </c>
      <c r="E61">
        <f t="shared" si="0"/>
        <v>7.7198786876206222E-3</v>
      </c>
    </row>
    <row r="62" spans="1:6" x14ac:dyDescent="0.3">
      <c r="A62">
        <v>76</v>
      </c>
      <c r="B62">
        <v>100</v>
      </c>
      <c r="C62">
        <v>128</v>
      </c>
      <c r="D62" t="s">
        <v>4</v>
      </c>
      <c r="E62">
        <f t="shared" si="0"/>
        <v>2.4671052631578955E-3</v>
      </c>
    </row>
    <row r="63" spans="1:6" x14ac:dyDescent="0.3">
      <c r="A63">
        <v>79</v>
      </c>
      <c r="B63">
        <v>80</v>
      </c>
      <c r="C63">
        <v>77</v>
      </c>
      <c r="D63" s="2" t="s">
        <v>4</v>
      </c>
      <c r="E63">
        <f t="shared" si="0"/>
        <v>1.6439256945586147E-4</v>
      </c>
      <c r="F63">
        <f>GEOMEAN(E63,E64)</f>
        <v>2.1519239309024064E-3</v>
      </c>
    </row>
    <row r="64" spans="1:6" x14ac:dyDescent="0.3">
      <c r="A64">
        <v>18</v>
      </c>
      <c r="B64">
        <v>90</v>
      </c>
      <c r="C64">
        <v>142</v>
      </c>
      <c r="D64" s="2" t="s">
        <v>5</v>
      </c>
      <c r="E64">
        <f t="shared" si="0"/>
        <v>2.8169014084507043E-2</v>
      </c>
    </row>
    <row r="65" spans="1:6" x14ac:dyDescent="0.3">
      <c r="A65">
        <v>87</v>
      </c>
      <c r="B65">
        <v>102</v>
      </c>
      <c r="C65">
        <v>177</v>
      </c>
      <c r="D65" t="s">
        <v>5</v>
      </c>
      <c r="E65">
        <f t="shared" si="0"/>
        <v>9.740892265731535E-4</v>
      </c>
    </row>
    <row r="66" spans="1:6" x14ac:dyDescent="0.3">
      <c r="A66">
        <v>132</v>
      </c>
      <c r="B66">
        <v>154</v>
      </c>
      <c r="C66">
        <v>99</v>
      </c>
      <c r="D66" t="s">
        <v>5</v>
      </c>
      <c r="E66">
        <f t="shared" si="0"/>
        <v>1.6835016835016843E-3</v>
      </c>
    </row>
    <row r="67" spans="1:6" x14ac:dyDescent="0.3">
      <c r="A67">
        <v>134</v>
      </c>
      <c r="B67">
        <v>141</v>
      </c>
      <c r="C67">
        <v>21</v>
      </c>
      <c r="D67" s="2" t="s">
        <v>4</v>
      </c>
      <c r="E67">
        <f t="shared" ref="E67:E101" si="1">((B67/A67)-1)/C67</f>
        <v>2.4875621890547281E-3</v>
      </c>
      <c r="F67">
        <f>GEOMEAN(E67,E68)</f>
        <v>8.0011339553379187E-3</v>
      </c>
    </row>
    <row r="68" spans="1:6" x14ac:dyDescent="0.3">
      <c r="A68">
        <v>85</v>
      </c>
      <c r="B68">
        <v>120</v>
      </c>
      <c r="C68">
        <v>16</v>
      </c>
      <c r="D68" s="2" t="s">
        <v>5</v>
      </c>
      <c r="E68">
        <f t="shared" si="1"/>
        <v>2.5735294117647065E-2</v>
      </c>
    </row>
    <row r="69" spans="1:6" x14ac:dyDescent="0.3">
      <c r="A69">
        <v>96</v>
      </c>
      <c r="B69">
        <v>98</v>
      </c>
      <c r="C69">
        <v>128</v>
      </c>
      <c r="D69" t="s">
        <v>4</v>
      </c>
      <c r="E69">
        <f t="shared" si="1"/>
        <v>1.6276041666666609E-4</v>
      </c>
    </row>
    <row r="70" spans="1:6" x14ac:dyDescent="0.3">
      <c r="A70">
        <v>68</v>
      </c>
      <c r="B70">
        <v>79</v>
      </c>
      <c r="C70">
        <v>7</v>
      </c>
      <c r="D70" t="s">
        <v>4</v>
      </c>
      <c r="E70">
        <f t="shared" si="1"/>
        <v>2.3109243697479003E-2</v>
      </c>
    </row>
    <row r="71" spans="1:6" x14ac:dyDescent="0.3">
      <c r="A71">
        <v>72</v>
      </c>
      <c r="B71">
        <v>105</v>
      </c>
      <c r="C71">
        <v>166</v>
      </c>
      <c r="D71" t="s">
        <v>4</v>
      </c>
      <c r="E71">
        <f t="shared" si="1"/>
        <v>2.7610441767068269E-3</v>
      </c>
    </row>
    <row r="72" spans="1:6" x14ac:dyDescent="0.3">
      <c r="A72">
        <v>176</v>
      </c>
      <c r="B72">
        <v>180</v>
      </c>
      <c r="C72">
        <v>5</v>
      </c>
      <c r="D72" t="s">
        <v>4</v>
      </c>
      <c r="E72">
        <f t="shared" si="1"/>
        <v>4.5454545454545418E-3</v>
      </c>
    </row>
    <row r="73" spans="1:6" x14ac:dyDescent="0.3">
      <c r="A73">
        <v>118</v>
      </c>
      <c r="B73">
        <v>150</v>
      </c>
      <c r="C73">
        <v>93</v>
      </c>
      <c r="D73" t="s">
        <v>4</v>
      </c>
      <c r="E73">
        <f t="shared" si="1"/>
        <v>2.915983233096409E-3</v>
      </c>
    </row>
    <row r="74" spans="1:6" x14ac:dyDescent="0.3">
      <c r="A74">
        <v>77</v>
      </c>
      <c r="B74">
        <v>113</v>
      </c>
      <c r="C74">
        <v>79</v>
      </c>
      <c r="D74" t="s">
        <v>4</v>
      </c>
      <c r="E74">
        <f t="shared" si="1"/>
        <v>5.9181325004109804E-3</v>
      </c>
    </row>
    <row r="75" spans="1:6" x14ac:dyDescent="0.3">
      <c r="A75">
        <v>41</v>
      </c>
      <c r="B75">
        <v>70</v>
      </c>
      <c r="C75">
        <v>63</v>
      </c>
      <c r="D75" t="s">
        <v>4</v>
      </c>
      <c r="E75">
        <f t="shared" si="1"/>
        <v>1.1227255129694153E-2</v>
      </c>
    </row>
    <row r="76" spans="1:6" x14ac:dyDescent="0.3">
      <c r="A76">
        <v>167</v>
      </c>
      <c r="B76">
        <v>181</v>
      </c>
      <c r="C76">
        <v>164</v>
      </c>
      <c r="D76" s="2" t="s">
        <v>4</v>
      </c>
      <c r="E76">
        <f t="shared" si="1"/>
        <v>5.1117277639842261E-4</v>
      </c>
      <c r="F76">
        <f>GEOMEAN(E76,E77)</f>
        <v>3.9357444192027425E-3</v>
      </c>
    </row>
    <row r="77" spans="1:6" x14ac:dyDescent="0.3">
      <c r="A77">
        <v>10</v>
      </c>
      <c r="B77">
        <v>20</v>
      </c>
      <c r="C77">
        <v>33</v>
      </c>
      <c r="D77" s="2" t="s">
        <v>5</v>
      </c>
      <c r="E77">
        <f t="shared" si="1"/>
        <v>3.0303030303030304E-2</v>
      </c>
    </row>
    <row r="78" spans="1:6" x14ac:dyDescent="0.3">
      <c r="A78">
        <v>15</v>
      </c>
      <c r="B78">
        <v>35</v>
      </c>
      <c r="C78">
        <v>13</v>
      </c>
      <c r="D78" t="s">
        <v>5</v>
      </c>
      <c r="E78">
        <f t="shared" si="1"/>
        <v>0.10256410256410257</v>
      </c>
    </row>
    <row r="79" spans="1:6" x14ac:dyDescent="0.3">
      <c r="A79">
        <v>204</v>
      </c>
      <c r="B79">
        <v>220</v>
      </c>
      <c r="C79">
        <v>14</v>
      </c>
      <c r="D79" s="2" t="s">
        <v>4</v>
      </c>
      <c r="E79">
        <f t="shared" si="1"/>
        <v>5.6022408963585391E-3</v>
      </c>
      <c r="F79">
        <f>GEOMEAN(E79,E80)</f>
        <v>1.7841220301272932E-2</v>
      </c>
    </row>
    <row r="80" spans="1:6" x14ac:dyDescent="0.3">
      <c r="A80">
        <v>11</v>
      </c>
      <c r="B80">
        <v>51</v>
      </c>
      <c r="C80">
        <v>64</v>
      </c>
      <c r="D80" s="2" t="s">
        <v>5</v>
      </c>
      <c r="E80">
        <f t="shared" si="1"/>
        <v>5.6818181818181823E-2</v>
      </c>
    </row>
    <row r="81" spans="1:6" x14ac:dyDescent="0.3">
      <c r="A81">
        <v>65</v>
      </c>
      <c r="B81">
        <v>96</v>
      </c>
      <c r="C81">
        <v>73</v>
      </c>
      <c r="D81" t="s">
        <v>4</v>
      </c>
      <c r="E81">
        <f t="shared" si="1"/>
        <v>6.5331928345626986E-3</v>
      </c>
    </row>
    <row r="82" spans="1:6" x14ac:dyDescent="0.3">
      <c r="A82">
        <v>58</v>
      </c>
      <c r="B82">
        <v>95</v>
      </c>
      <c r="C82">
        <v>24</v>
      </c>
      <c r="D82" t="s">
        <v>4</v>
      </c>
      <c r="E82">
        <f t="shared" si="1"/>
        <v>2.6580459770114945E-2</v>
      </c>
    </row>
    <row r="83" spans="1:6" x14ac:dyDescent="0.3">
      <c r="A83">
        <v>46</v>
      </c>
      <c r="B83">
        <v>59</v>
      </c>
      <c r="C83">
        <v>61</v>
      </c>
      <c r="D83" t="s">
        <v>4</v>
      </c>
      <c r="E83">
        <f t="shared" si="1"/>
        <v>4.6329294369208823E-3</v>
      </c>
    </row>
    <row r="84" spans="1:6" x14ac:dyDescent="0.3">
      <c r="A84">
        <v>28</v>
      </c>
      <c r="B84">
        <v>51</v>
      </c>
      <c r="C84">
        <v>150</v>
      </c>
      <c r="D84" t="s">
        <v>4</v>
      </c>
      <c r="E84">
        <f t="shared" si="1"/>
        <v>5.4761904761904756E-3</v>
      </c>
    </row>
    <row r="85" spans="1:6" x14ac:dyDescent="0.3">
      <c r="A85">
        <v>172</v>
      </c>
      <c r="B85">
        <v>200</v>
      </c>
      <c r="C85">
        <v>99</v>
      </c>
      <c r="D85" t="s">
        <v>4</v>
      </c>
      <c r="E85">
        <f t="shared" si="1"/>
        <v>1.6443504815597846E-3</v>
      </c>
    </row>
    <row r="86" spans="1:6" x14ac:dyDescent="0.3">
      <c r="A86">
        <v>34</v>
      </c>
      <c r="B86">
        <v>40</v>
      </c>
      <c r="C86">
        <v>186</v>
      </c>
      <c r="D86" s="2" t="s">
        <v>4</v>
      </c>
      <c r="E86">
        <f t="shared" si="1"/>
        <v>9.4876660341556001E-4</v>
      </c>
      <c r="F86">
        <f>GEOMEAN(E86,E87)</f>
        <v>4.2177451101319229E-3</v>
      </c>
    </row>
    <row r="87" spans="1:6" x14ac:dyDescent="0.3">
      <c r="A87">
        <v>80</v>
      </c>
      <c r="B87">
        <v>101</v>
      </c>
      <c r="C87">
        <v>14</v>
      </c>
      <c r="D87" s="2" t="s">
        <v>5</v>
      </c>
      <c r="E87">
        <f t="shared" si="1"/>
        <v>1.8749999999999996E-2</v>
      </c>
    </row>
    <row r="88" spans="1:6" x14ac:dyDescent="0.3">
      <c r="A88">
        <v>181</v>
      </c>
      <c r="B88">
        <v>209</v>
      </c>
      <c r="C88">
        <v>22</v>
      </c>
      <c r="D88" t="s">
        <v>5</v>
      </c>
      <c r="E88">
        <f t="shared" si="1"/>
        <v>7.0316423907584155E-3</v>
      </c>
    </row>
    <row r="89" spans="1:6" x14ac:dyDescent="0.3">
      <c r="A89">
        <v>5</v>
      </c>
      <c r="B89">
        <v>30</v>
      </c>
      <c r="C89">
        <v>68</v>
      </c>
      <c r="D89" t="s">
        <v>5</v>
      </c>
      <c r="E89">
        <f t="shared" si="1"/>
        <v>7.3529411764705885E-2</v>
      </c>
    </row>
    <row r="90" spans="1:6" x14ac:dyDescent="0.3">
      <c r="A90">
        <v>52</v>
      </c>
      <c r="B90">
        <v>86</v>
      </c>
      <c r="C90">
        <v>243</v>
      </c>
      <c r="D90" t="s">
        <v>4</v>
      </c>
      <c r="E90">
        <f t="shared" si="1"/>
        <v>2.6907249129471348E-3</v>
      </c>
    </row>
    <row r="91" spans="1:6" x14ac:dyDescent="0.3">
      <c r="A91">
        <v>94</v>
      </c>
      <c r="B91">
        <v>100</v>
      </c>
      <c r="C91">
        <v>56</v>
      </c>
      <c r="D91" s="2" t="s">
        <v>4</v>
      </c>
      <c r="E91">
        <f t="shared" si="1"/>
        <v>1.139817629179331E-3</v>
      </c>
      <c r="F91">
        <f>GEOMEAN(E91,E92)</f>
        <v>4.7816795672836337E-3</v>
      </c>
    </row>
    <row r="92" spans="1:6" x14ac:dyDescent="0.3">
      <c r="A92">
        <v>213</v>
      </c>
      <c r="B92">
        <v>260</v>
      </c>
      <c r="C92">
        <v>11</v>
      </c>
      <c r="D92" s="2" t="s">
        <v>5</v>
      </c>
      <c r="E92">
        <f t="shared" si="1"/>
        <v>2.0059752454118659E-2</v>
      </c>
    </row>
    <row r="93" spans="1:6" x14ac:dyDescent="0.3">
      <c r="A93">
        <v>197</v>
      </c>
      <c r="B93">
        <v>220</v>
      </c>
      <c r="C93">
        <v>8</v>
      </c>
      <c r="D93" s="2" t="s">
        <v>4</v>
      </c>
      <c r="E93">
        <f t="shared" si="1"/>
        <v>1.4593908629441626E-2</v>
      </c>
      <c r="F93">
        <f>GEOMEAN(E93,E94)</f>
        <v>4.0268416945185369E-2</v>
      </c>
    </row>
    <row r="94" spans="1:6" x14ac:dyDescent="0.3">
      <c r="A94">
        <v>36</v>
      </c>
      <c r="B94">
        <v>84</v>
      </c>
      <c r="C94">
        <v>12</v>
      </c>
      <c r="D94" s="2" t="s">
        <v>5</v>
      </c>
      <c r="E94">
        <f t="shared" si="1"/>
        <v>0.11111111111111112</v>
      </c>
    </row>
    <row r="95" spans="1:6" x14ac:dyDescent="0.3">
      <c r="A95">
        <v>106</v>
      </c>
      <c r="B95">
        <v>207</v>
      </c>
      <c r="C95">
        <v>184</v>
      </c>
      <c r="D95" t="s">
        <v>5</v>
      </c>
      <c r="E95">
        <f t="shared" si="1"/>
        <v>5.1784249384741587E-3</v>
      </c>
    </row>
    <row r="96" spans="1:6" x14ac:dyDescent="0.3">
      <c r="A96">
        <v>100</v>
      </c>
      <c r="B96">
        <v>120</v>
      </c>
      <c r="C96">
        <v>180</v>
      </c>
      <c r="D96" s="2" t="s">
        <v>4</v>
      </c>
      <c r="E96">
        <f t="shared" si="1"/>
        <v>1.1111111111111109E-3</v>
      </c>
      <c r="F96">
        <f>GEOMEAN(E96,E97)</f>
        <v>3.4370827274894968E-3</v>
      </c>
    </row>
    <row r="97" spans="1:6" x14ac:dyDescent="0.3">
      <c r="A97">
        <v>60</v>
      </c>
      <c r="B97">
        <v>97</v>
      </c>
      <c r="C97">
        <v>58</v>
      </c>
      <c r="D97" s="2" t="s">
        <v>5</v>
      </c>
      <c r="E97">
        <f t="shared" si="1"/>
        <v>1.0632183908045977E-2</v>
      </c>
    </row>
    <row r="98" spans="1:6" x14ac:dyDescent="0.3">
      <c r="A98">
        <v>188</v>
      </c>
      <c r="B98">
        <v>190</v>
      </c>
      <c r="C98">
        <v>232</v>
      </c>
      <c r="D98" s="2" t="s">
        <v>4</v>
      </c>
      <c r="E98">
        <f t="shared" si="1"/>
        <v>4.585473220836421E-5</v>
      </c>
      <c r="F98">
        <f>GEOMEAN(E98,E99)</f>
        <v>1.4307642221211617E-3</v>
      </c>
    </row>
    <row r="99" spans="1:6" x14ac:dyDescent="0.3">
      <c r="A99">
        <v>112</v>
      </c>
      <c r="B99">
        <v>142</v>
      </c>
      <c r="C99">
        <v>6</v>
      </c>
      <c r="D99" s="2" t="s">
        <v>5</v>
      </c>
      <c r="E99">
        <f t="shared" si="1"/>
        <v>4.464285714285713E-2</v>
      </c>
    </row>
    <row r="100" spans="1:6" x14ac:dyDescent="0.3">
      <c r="A100">
        <v>207</v>
      </c>
      <c r="B100">
        <v>210</v>
      </c>
      <c r="C100">
        <v>17</v>
      </c>
      <c r="D100" t="s">
        <v>4</v>
      </c>
      <c r="E100">
        <f t="shared" si="1"/>
        <v>8.5251491901108649E-4</v>
      </c>
    </row>
    <row r="101" spans="1:6" x14ac:dyDescent="0.3">
      <c r="A101">
        <v>78</v>
      </c>
      <c r="B101">
        <v>80</v>
      </c>
      <c r="C101">
        <v>162</v>
      </c>
      <c r="D101" t="s">
        <v>4</v>
      </c>
      <c r="E101">
        <f t="shared" si="1"/>
        <v>1.5827793605571326E-4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001_delay_discounting_exp_2025-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2025-10-28T06:53:14Z</dcterms:created>
  <dcterms:modified xsi:type="dcterms:W3CDTF">2025-10-30T06:45:36Z</dcterms:modified>
</cp:coreProperties>
</file>